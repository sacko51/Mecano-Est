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tudiant\Desktop\"/>
    </mc:Choice>
  </mc:AlternateContent>
  <xr:revisionPtr revIDLastSave="0" documentId="8_{9AF0F749-1D35-4F06-AF01-2188F87A1C6F}" xr6:coauthVersionLast="47" xr6:coauthVersionMax="47" xr10:uidLastSave="{00000000-0000-0000-0000-000000000000}"/>
  <bookViews>
    <workbookView xWindow="-120" yWindow="-120" windowWidth="20730" windowHeight="11040" tabRatio="500" firstSheet="1" activeTab="3" xr2:uid="{00000000-000D-0000-FFFF-FFFF00000000}"/>
  </bookViews>
  <sheets>
    <sheet name="00_Sommaire" sheetId="1" r:id="rId1"/>
    <sheet name="01_Methode_ABC" sheetId="2" r:id="rId2"/>
    <sheet name="02_Valorisation_Stocks" sheetId="3" r:id="rId3"/>
    <sheet name="03_Seuil_Rentabilite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6" i="4" l="1"/>
  <c r="B5" i="4"/>
  <c r="G7" i="3"/>
  <c r="G8" i="3" s="1"/>
  <c r="G9" i="3" s="1"/>
  <c r="B15" i="3" s="1"/>
  <c r="B12" i="4"/>
  <c r="B9" i="4"/>
  <c r="B8" i="4"/>
  <c r="E8" i="3"/>
  <c r="G6" i="3"/>
  <c r="F6" i="3"/>
  <c r="F7" i="3" s="1"/>
  <c r="F8" i="3" s="1"/>
  <c r="F9" i="3" s="1"/>
  <c r="E6" i="3"/>
  <c r="G5" i="3"/>
  <c r="F5" i="3"/>
  <c r="E5" i="3"/>
  <c r="H5" i="3" s="1"/>
  <c r="D34" i="2"/>
  <c r="C34" i="2"/>
  <c r="D28" i="2"/>
  <c r="C28" i="2"/>
  <c r="F21" i="2"/>
  <c r="E32" i="2" s="1"/>
  <c r="E20" i="2"/>
  <c r="G20" i="2" s="1"/>
  <c r="E19" i="2"/>
  <c r="G19" i="2" s="1"/>
  <c r="E18" i="2"/>
  <c r="G18" i="2" s="1"/>
  <c r="E17" i="2"/>
  <c r="G17" i="2" s="1"/>
  <c r="G16" i="2"/>
  <c r="E16" i="2"/>
  <c r="C12" i="2"/>
  <c r="D31" i="2" s="1"/>
  <c r="B12" i="2"/>
  <c r="C25" i="2" s="1"/>
  <c r="C11" i="2"/>
  <c r="B11" i="2"/>
  <c r="D11" i="2" s="1"/>
  <c r="B7" i="4" s="1"/>
  <c r="C7" i="2"/>
  <c r="B7" i="2"/>
  <c r="D7" i="2" s="1"/>
  <c r="D5" i="2"/>
  <c r="D33" i="2" l="1"/>
  <c r="D35" i="2" s="1"/>
  <c r="D36" i="2" s="1"/>
  <c r="I5" i="3"/>
  <c r="H6" i="3"/>
  <c r="C32" i="2"/>
  <c r="D32" i="2"/>
  <c r="E29" i="2"/>
  <c r="E30" i="2" s="1"/>
  <c r="E35" i="2"/>
  <c r="E36" i="2" s="1"/>
  <c r="C7" i="4"/>
  <c r="C8" i="4"/>
  <c r="B10" i="4"/>
  <c r="D25" i="2"/>
  <c r="D26" i="2"/>
  <c r="C31" i="2"/>
  <c r="C33" i="2" s="1"/>
  <c r="C35" i="2" s="1"/>
  <c r="C36" i="2" s="1"/>
  <c r="C26" i="2"/>
  <c r="C27" i="2" s="1"/>
  <c r="C29" i="2" s="1"/>
  <c r="C30" i="2" s="1"/>
  <c r="E26" i="2"/>
  <c r="B14" i="3"/>
  <c r="B16" i="3" l="1"/>
  <c r="C12" i="4"/>
  <c r="B11" i="4"/>
  <c r="C5" i="4"/>
  <c r="D27" i="2"/>
  <c r="D29" i="2" s="1"/>
  <c r="D30" i="2" s="1"/>
  <c r="C10" i="4"/>
  <c r="C6" i="4"/>
  <c r="C9" i="4"/>
  <c r="H7" i="3"/>
  <c r="I6" i="3"/>
  <c r="H8" i="3" l="1"/>
  <c r="I7" i="3"/>
  <c r="B13" i="4"/>
  <c r="C13" i="4" s="1"/>
  <c r="C11" i="4"/>
  <c r="C18" i="4" s="1"/>
  <c r="C19" i="4" l="1"/>
  <c r="C20" i="4"/>
  <c r="C21" i="4" s="1"/>
  <c r="C22" i="4"/>
  <c r="I8" i="3"/>
  <c r="H9" i="3"/>
  <c r="C15" i="3" l="1"/>
  <c r="D15" i="3" s="1"/>
  <c r="I9" i="3"/>
  <c r="C14" i="3"/>
  <c r="C16" i="3" l="1"/>
  <c r="D16" i="3" s="1"/>
  <c r="D14" i="3"/>
</calcChain>
</file>

<file path=xl/sharedStrings.xml><?xml version="1.0" encoding="utf-8"?>
<sst xmlns="http://schemas.openxmlformats.org/spreadsheetml/2006/main" count="158" uniqueCount="139">
  <si>
    <t>DOSSIER 1 - CONTRÔLE DE GESTION INDUSTRIEL (MÉCANO-EST SAS)</t>
  </si>
  <si>
    <t>Onglet</t>
  </si>
  <si>
    <t>Objet de la modélisation</t>
  </si>
  <si>
    <t>Méthodes &amp; Outils mobilisés</t>
  </si>
  <si>
    <t>Enseignement clé / Décision</t>
  </si>
  <si>
    <t>01_Methode_ABC</t>
  </si>
  <si>
    <t>Comptabilité par activités (ABC) vs Méthode classique</t>
  </si>
  <si>
    <t>Inducteurs de coûts, subventionnement croisé</t>
  </si>
  <si>
    <t>Mise en évidence du déficit de la gamme spéciale (-41,50 €/u) masqué par le standard.</t>
  </si>
  <si>
    <t>02_Valorisation_Stocks</t>
  </si>
  <si>
    <t>Suivi des stocks d'acier : FIFO (PEPS) vs PUMP</t>
  </si>
  <si>
    <t>Fiche de stock mensuelle, impact inflation</t>
  </si>
  <si>
    <t>Le FIFO majore le résultat (+157 €) en période de hausse des prix face au PUMP.</t>
  </si>
  <si>
    <t>03_Seuil_Rentabilite</t>
  </si>
  <si>
    <t>Analyse coût-volume-profit &amp; levier opérationnel</t>
  </si>
  <si>
    <t>Compte de résultat différentiel, point mort</t>
  </si>
  <si>
    <t>Seuil de rentabilité à 677 k€ (277 jours), marge de sécurité à 23,1 %.</t>
  </si>
  <si>
    <t>DOSSIER 1 - PME MÉCANO-EST SAS : COMPTABILITÉ PAR ACTIVITÉS (ABC)</t>
  </si>
  <si>
    <t>1. Données d'activité et charges directes</t>
  </si>
  <si>
    <t>Paramètres de production &amp; Vente</t>
  </si>
  <si>
    <t>Standard (S)</t>
  </si>
  <si>
    <t>Spéciale (P)</t>
  </si>
  <si>
    <t>Total Entreprise</t>
  </si>
  <si>
    <t>Volume annuel produit et vendu (unités)</t>
  </si>
  <si>
    <t>Prix de vente unitaire (€)</t>
  </si>
  <si>
    <t>Chiffre d'affaires global (€)</t>
  </si>
  <si>
    <t>Matières premières directes (€/u)</t>
  </si>
  <si>
    <t>Heures de MOD par unité (h/u)</t>
  </si>
  <si>
    <t>Taux horaire de la MOD (€/h)</t>
  </si>
  <si>
    <t>Total heures MOD consommées (h)</t>
  </si>
  <si>
    <t>Total charges directes unitaires (€/u)</t>
  </si>
  <si>
    <t>2. Cartographie des activités et coûts des inducteurs</t>
  </si>
  <si>
    <t>Activité support</t>
  </si>
  <si>
    <t>Inducteur retenu</t>
  </si>
  <si>
    <t>Vol. (S)</t>
  </si>
  <si>
    <t>Vol. (P)</t>
  </si>
  <si>
    <t>Total Inducteurs</t>
  </si>
  <si>
    <t>Coût Activité (€)</t>
  </si>
  <si>
    <t>Coût unitaire Inducteur (€)</t>
  </si>
  <si>
    <t>Approvisionnement</t>
  </si>
  <si>
    <t>Nombre de commandes</t>
  </si>
  <si>
    <t>Réglage machines</t>
  </si>
  <si>
    <t>Nombre de séries lancées</t>
  </si>
  <si>
    <t>Usinage</t>
  </si>
  <si>
    <t>Heures-machines</t>
  </si>
  <si>
    <t>Contrôle qualité</t>
  </si>
  <si>
    <t>Nombre de lots contrôlés</t>
  </si>
  <si>
    <t>Expédition / ADV</t>
  </si>
  <si>
    <t>Nombre de livraisons</t>
  </si>
  <si>
    <t>TOTAL CHARGES INDIRECTES</t>
  </si>
  <si>
    <t>-</t>
  </si>
  <si>
    <t>N/A</t>
  </si>
  <si>
    <t>3. Comparaison : Méthode Traditionnelle vs Méthode ABC</t>
  </si>
  <si>
    <t>Méthode de calcul</t>
  </si>
  <si>
    <t>Indicateur unitaire</t>
  </si>
  <si>
    <t>Total Société</t>
  </si>
  <si>
    <t>Méthode classique (Clé = h MOD)</t>
  </si>
  <si>
    <t>Charges directes unitaires</t>
  </si>
  <si>
    <t>Charges indirectes unitaires</t>
  </si>
  <si>
    <t>Coût de revient unitaire</t>
  </si>
  <si>
    <t>Prix de vente unitaire</t>
  </si>
  <si>
    <t>Marge unitaire (€)</t>
  </si>
  <si>
    <t>Taux de marge (%)</t>
  </si>
  <si>
    <t>Méthode ABC (Inducteurs d'activité)</t>
  </si>
  <si>
    <t>DOSSIER 1 (SUITE) - GESTION ET VALORISATION DES STOCKS : FIFO vs PUMP</t>
  </si>
  <si>
    <t>1. Fiche de stock chronologique (Acier haute résistance)</t>
  </si>
  <si>
    <t>Date</t>
  </si>
  <si>
    <t>Opération</t>
  </si>
  <si>
    <t>Quantité (kg)</t>
  </si>
  <si>
    <t>P.U. (€)</t>
  </si>
  <si>
    <t>Montant (€)</t>
  </si>
  <si>
    <t>Stock Q (kg)</t>
  </si>
  <si>
    <t>Stock FIFO (€)</t>
  </si>
  <si>
    <t>Stock PUMP (€)</t>
  </si>
  <si>
    <t>PUMP (€/kg)</t>
  </si>
  <si>
    <t>01/01</t>
  </si>
  <si>
    <t>Stock initial</t>
  </si>
  <si>
    <t>08/01</t>
  </si>
  <si>
    <t>Entrée (E1)</t>
  </si>
  <si>
    <t>15/01</t>
  </si>
  <si>
    <t>Sortie atelier (S1)</t>
  </si>
  <si>
    <t>22/01</t>
  </si>
  <si>
    <t>Entrée (E2)</t>
  </si>
  <si>
    <t>28/01</t>
  </si>
  <si>
    <t>Sortie atelier (S2)</t>
  </si>
  <si>
    <t>2. Synthèse d'impact financier : FIFO vs PUMP</t>
  </si>
  <si>
    <t>Agrégat financier</t>
  </si>
  <si>
    <t>Méthode FIFO</t>
  </si>
  <si>
    <t>Méthode PUMP</t>
  </si>
  <si>
    <t>Écart (FIFO - PUMP)</t>
  </si>
  <si>
    <t>Impact sur les états financiers</t>
  </si>
  <si>
    <t>Coût des matières consommées (Sorties)</t>
  </si>
  <si>
    <t>Charges minorées en FIFO -&gt; Majore le résultat d'exploitation</t>
  </si>
  <si>
    <t>Valeur du stock final (Bilan au 31/01)</t>
  </si>
  <si>
    <t>Actif circulant valorisé au plus près des prix récents du marché</t>
  </si>
  <si>
    <t>Total disponible réconcilié (Sorties + SF)</t>
  </si>
  <si>
    <t>Contrôle d'inventaire parfait (écart de bouclage nul)</t>
  </si>
  <si>
    <t>DOSSIER 1 (SUITE) - SEUIL DE RENTABILITÉ ET RISQUE D'EXPLOITATION</t>
  </si>
  <si>
    <t>1. Compte de résultat différentiel</t>
  </si>
  <si>
    <t>Poste de gestion</t>
  </si>
  <si>
    <t>% du Chiffre d'affaires</t>
  </si>
  <si>
    <t>Nature de variabilité</t>
  </si>
  <si>
    <t>Chiffre d'affaires (CA)</t>
  </si>
  <si>
    <t>Volume d'activité annuel</t>
  </si>
  <si>
    <t>Matières premières directes</t>
  </si>
  <si>
    <t>100 % variable</t>
  </si>
  <si>
    <t>Main-d'œuvre directe (MOD)</t>
  </si>
  <si>
    <t>Considérée variable à la production</t>
  </si>
  <si>
    <t>Énergie et outillage variable</t>
  </si>
  <si>
    <t>Part variable usinage (50 %)</t>
  </si>
  <si>
    <t>Frais d'expédition / transport</t>
  </si>
  <si>
    <t>TOTAL CHARGES VARIABLES (CV)</t>
  </si>
  <si>
    <t>Proportionnel à l'activité</t>
  </si>
  <si>
    <t>MARGE SUR COÛTS VARIABLES (MCV)</t>
  </si>
  <si>
    <t>Contribution à la couverture des frais fixes</t>
  </si>
  <si>
    <t>TOTAL CHARGES FIXES (CF)</t>
  </si>
  <si>
    <t>Appro, réglages, contrôle, amortissements</t>
  </si>
  <si>
    <t>RÉSULTAT D'EXPLOITATION</t>
  </si>
  <si>
    <t>Bénéfice opérationnel net</t>
  </si>
  <si>
    <t>2. Indicateurs de sécurité financière et de sensibilité</t>
  </si>
  <si>
    <t>Indicateur de risque</t>
  </si>
  <si>
    <t>Formule de calcul</t>
  </si>
  <si>
    <t>Valeur calculée</t>
  </si>
  <si>
    <t>Interprétation pour le management</t>
  </si>
  <si>
    <t>Seuil de rentabilité (SR en €)</t>
  </si>
  <si>
    <t>Charges fixes / Taux de MCV</t>
  </si>
  <si>
    <t>Niveau de CA à atteindre pour couvrir l'intégralité des charges</t>
  </si>
  <si>
    <t>Point mort (base annuelle 360 jours)</t>
  </si>
  <si>
    <t>(SR / CA) * 360 jours</t>
  </si>
  <si>
    <t>L'activité devient profitable à compter du 8 octobre</t>
  </si>
  <si>
    <t>Marge de sécurité (€)</t>
  </si>
  <si>
    <t>CA - SR</t>
  </si>
  <si>
    <t>Baisse de chiffre d'affaires absorbable avant d'entrer en perte</t>
  </si>
  <si>
    <t>Indice de sécurité (%)</t>
  </si>
  <si>
    <t>Marge de sécurité / CA</t>
  </si>
  <si>
    <t>Le CA peut fléchir de 23,1 % sans générer de perte</t>
  </si>
  <si>
    <t>Levier d'exploitation</t>
  </si>
  <si>
    <t>MCV / Résultat d'exploitation</t>
  </si>
  <si>
    <t>Une hausse de 10 % de l'activité entraîne +43,3 % de résultat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</si>
</sst>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&quot; €&quot;"/>
    <numFmt numFmtId="165" formatCode="0.0\ %"/>
  </numFmts>
  <fonts count="9" x14ac:knownFonts="1">
    <font>
      <sz val="11"/>
      <color theme="1"/>
      <name val="Calibri"/>
      <family val="2"/>
      <charset val="1"/>
    </font>
    <font>
      <b/>
      <sz val="13"/>
      <color rgb="FF1F4E78"/>
      <name val="Calibri"/>
      <charset val="1"/>
    </font>
    <font>
      <b/>
      <sz val="10"/>
      <color rgb="FFFFFFFF"/>
      <name val="Calibri"/>
      <charset val="1"/>
    </font>
    <font>
      <b/>
      <sz val="10"/>
      <color rgb="FF000000"/>
      <name val="Calibri"/>
      <charset val="1"/>
    </font>
    <font>
      <sz val="10"/>
      <color rgb="FF000000"/>
      <name val="Calibri"/>
      <charset val="1"/>
    </font>
    <font>
      <b/>
      <sz val="11"/>
      <color rgb="FF1F4E78"/>
      <name val="Calibri"/>
      <charset val="1"/>
    </font>
    <font>
      <sz val="10"/>
      <color rgb="FF0000FF"/>
      <name val="Calibri"/>
      <charset val="1"/>
    </font>
    <font>
      <b/>
      <sz val="10"/>
      <color rgb="FFC00000"/>
      <name val="Calibri"/>
      <charset val="1"/>
    </font>
    <font>
      <sz val="10"/>
      <color rgb="FF008000"/>
      <name val="Calibri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9FAFB"/>
        <bgColor rgb="FFFFFFFF"/>
      </patternFill>
    </fill>
    <fill>
      <patternFill patternType="solid">
        <fgColor rgb="FFD9E1F2"/>
        <bgColor rgb="FFD9D9D9"/>
      </patternFill>
    </fill>
    <fill>
      <patternFill patternType="solid">
        <fgColor rgb="FFFCE4D6"/>
        <bgColor rgb="FFF9FAFB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1F4E78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1F4E78"/>
      </top>
      <bottom style="double">
        <color rgb="FF1F4E78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4" borderId="3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3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 wrapText="1"/>
    </xf>
    <xf numFmtId="0" fontId="5" fillId="0" borderId="0" xfId="0" applyFont="1"/>
    <xf numFmtId="0" fontId="3" fillId="0" borderId="2" xfId="0" applyFont="1" applyBorder="1" applyAlignment="1">
      <alignment horizontal="left" vertical="center"/>
    </xf>
    <xf numFmtId="3" fontId="6" fillId="0" borderId="2" xfId="0" applyNumberFormat="1" applyFont="1" applyBorder="1" applyAlignment="1">
      <alignment horizontal="right" vertical="center"/>
    </xf>
    <xf numFmtId="3" fontId="4" fillId="0" borderId="2" xfId="0" applyNumberFormat="1" applyFont="1" applyBorder="1" applyAlignment="1">
      <alignment horizontal="right" vertical="center"/>
    </xf>
    <xf numFmtId="164" fontId="6" fillId="0" borderId="2" xfId="0" applyNumberFormat="1" applyFont="1" applyBorder="1" applyAlignment="1">
      <alignment horizontal="right" vertical="center"/>
    </xf>
    <xf numFmtId="0" fontId="4" fillId="0" borderId="2" xfId="0" applyFont="1" applyBorder="1" applyAlignment="1">
      <alignment horizontal="right" vertical="center"/>
    </xf>
    <xf numFmtId="164" fontId="3" fillId="0" borderId="2" xfId="0" applyNumberFormat="1" applyFont="1" applyBorder="1" applyAlignment="1">
      <alignment horizontal="right" vertical="center"/>
    </xf>
    <xf numFmtId="0" fontId="3" fillId="4" borderId="3" xfId="0" applyFont="1" applyFill="1" applyBorder="1" applyAlignment="1">
      <alignment horizontal="left" vertical="center"/>
    </xf>
    <xf numFmtId="164" fontId="3" fillId="4" borderId="3" xfId="0" applyNumberFormat="1" applyFont="1" applyFill="1" applyBorder="1" applyAlignment="1">
      <alignment horizontal="right" vertical="center"/>
    </xf>
    <xf numFmtId="0" fontId="3" fillId="4" borderId="3" xfId="0" applyFont="1" applyFill="1" applyBorder="1" applyAlignment="1">
      <alignment horizontal="right" vertical="center"/>
    </xf>
    <xf numFmtId="0" fontId="4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164" fontId="4" fillId="0" borderId="2" xfId="0" applyNumberFormat="1" applyFont="1" applyBorder="1" applyAlignment="1">
      <alignment horizontal="right" vertical="center"/>
    </xf>
    <xf numFmtId="0" fontId="3" fillId="4" borderId="3" xfId="0" applyFont="1" applyFill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165" fontId="4" fillId="0" borderId="2" xfId="0" applyNumberFormat="1" applyFont="1" applyBorder="1" applyAlignment="1">
      <alignment horizontal="right" vertical="center"/>
    </xf>
    <xf numFmtId="164" fontId="7" fillId="5" borderId="2" xfId="0" applyNumberFormat="1" applyFont="1" applyFill="1" applyBorder="1" applyAlignment="1">
      <alignment horizontal="right" vertical="center"/>
    </xf>
    <xf numFmtId="164" fontId="8" fillId="0" borderId="2" xfId="0" applyNumberFormat="1" applyFont="1" applyBorder="1" applyAlignment="1">
      <alignment horizontal="right" vertical="center"/>
    </xf>
    <xf numFmtId="165" fontId="3" fillId="0" borderId="2" xfId="0" applyNumberFormat="1" applyFont="1" applyBorder="1" applyAlignment="1">
      <alignment horizontal="right" vertical="center"/>
    </xf>
    <xf numFmtId="165" fontId="3" fillId="4" borderId="3" xfId="0" applyNumberFormat="1" applyFont="1" applyFill="1" applyBorder="1" applyAlignment="1">
      <alignment horizontal="right" vertical="center"/>
    </xf>
    <xf numFmtId="2" fontId="4" fillId="0" borderId="2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9FAFB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zoomScaleNormal="100" workbookViewId="0">
      <selection activeCell="D6" sqref="D6"/>
    </sheetView>
  </sheetViews>
  <sheetFormatPr baseColWidth="10" defaultColWidth="8.7109375" defaultRowHeight="15" x14ac:dyDescent="0.25"/>
  <cols>
    <col min="1" max="1" width="24" customWidth="1"/>
    <col min="2" max="2" width="38" customWidth="1"/>
    <col min="3" max="3" width="34" customWidth="1"/>
    <col min="4" max="4" width="52" customWidth="1"/>
  </cols>
  <sheetData>
    <row r="1" spans="1:4" ht="24.75" customHeight="1" x14ac:dyDescent="0.3">
      <c r="A1" s="4" t="s">
        <v>0</v>
      </c>
    </row>
    <row r="3" spans="1:4" ht="27.75" customHeight="1" x14ac:dyDescent="0.25">
      <c r="A3" s="5" t="s">
        <v>1</v>
      </c>
      <c r="B3" s="5" t="s">
        <v>2</v>
      </c>
      <c r="C3" s="5" t="s">
        <v>3</v>
      </c>
      <c r="D3" s="5" t="s">
        <v>4</v>
      </c>
    </row>
    <row r="4" spans="1:4" ht="34.5" customHeight="1" x14ac:dyDescent="0.25">
      <c r="A4" s="6" t="s">
        <v>5</v>
      </c>
      <c r="B4" s="7" t="s">
        <v>6</v>
      </c>
      <c r="C4" s="7" t="s">
        <v>7</v>
      </c>
      <c r="D4" s="7" t="s">
        <v>8</v>
      </c>
    </row>
    <row r="5" spans="1:4" ht="34.5" customHeight="1" x14ac:dyDescent="0.25">
      <c r="A5" s="8" t="s">
        <v>9</v>
      </c>
      <c r="B5" s="9" t="s">
        <v>10</v>
      </c>
      <c r="C5" s="9" t="s">
        <v>11</v>
      </c>
      <c r="D5" s="9" t="s">
        <v>12</v>
      </c>
    </row>
    <row r="6" spans="1:4" ht="34.5" customHeight="1" x14ac:dyDescent="0.25">
      <c r="A6" s="6" t="s">
        <v>13</v>
      </c>
      <c r="B6" s="7" t="s">
        <v>14</v>
      </c>
      <c r="C6" s="7" t="s">
        <v>15</v>
      </c>
      <c r="D6" s="7" t="s">
        <v>16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6"/>
  <sheetViews>
    <sheetView zoomScaleNormal="100" workbookViewId="0">
      <selection activeCell="C8" sqref="C8"/>
    </sheetView>
  </sheetViews>
  <sheetFormatPr baseColWidth="10" defaultColWidth="8.7109375" defaultRowHeight="15" x14ac:dyDescent="0.25"/>
  <cols>
    <col min="1" max="1" width="34" customWidth="1"/>
    <col min="2" max="2" width="28" customWidth="1"/>
    <col min="3" max="4" width="16" customWidth="1"/>
    <col min="5" max="6" width="18" customWidth="1"/>
    <col min="7" max="7" width="24" customWidth="1"/>
  </cols>
  <sheetData>
    <row r="1" spans="1:7" ht="24.75" customHeight="1" x14ac:dyDescent="0.3">
      <c r="A1" s="4" t="s">
        <v>17</v>
      </c>
    </row>
    <row r="3" spans="1:7" ht="15" customHeight="1" x14ac:dyDescent="0.25">
      <c r="A3" s="10" t="s">
        <v>18</v>
      </c>
    </row>
    <row r="4" spans="1:7" ht="24" customHeight="1" x14ac:dyDescent="0.25">
      <c r="A4" s="5" t="s">
        <v>19</v>
      </c>
      <c r="B4" s="5" t="s">
        <v>20</v>
      </c>
      <c r="C4" s="5" t="s">
        <v>21</v>
      </c>
      <c r="D4" s="5" t="s">
        <v>22</v>
      </c>
    </row>
    <row r="5" spans="1:7" ht="19.5" customHeight="1" x14ac:dyDescent="0.25">
      <c r="A5" s="11" t="s">
        <v>23</v>
      </c>
      <c r="B5" s="12">
        <v>10000</v>
      </c>
      <c r="C5" s="12">
        <v>2000</v>
      </c>
      <c r="D5" s="13">
        <f>B5+C5</f>
        <v>12000</v>
      </c>
    </row>
    <row r="6" spans="1:7" ht="19.5" customHeight="1" x14ac:dyDescent="0.25">
      <c r="A6" s="11" t="s">
        <v>24</v>
      </c>
      <c r="B6" s="14">
        <v>60</v>
      </c>
      <c r="C6" s="14">
        <v>140</v>
      </c>
      <c r="D6" s="15"/>
    </row>
    <row r="7" spans="1:7" ht="19.5" customHeight="1" x14ac:dyDescent="0.25">
      <c r="A7" s="11" t="s">
        <v>25</v>
      </c>
      <c r="B7" s="16">
        <f>B5*B6</f>
        <v>600000</v>
      </c>
      <c r="C7" s="16">
        <f>C5*C6</f>
        <v>280000</v>
      </c>
      <c r="D7" s="16">
        <f>B7+C7</f>
        <v>880000</v>
      </c>
    </row>
    <row r="8" spans="1:7" ht="19.5" customHeight="1" x14ac:dyDescent="0.25">
      <c r="A8" s="11" t="s">
        <v>26</v>
      </c>
      <c r="B8" s="14">
        <v>15</v>
      </c>
      <c r="C8" s="14">
        <v>35</v>
      </c>
      <c r="D8" s="15"/>
    </row>
    <row r="9" spans="1:7" ht="19.5" customHeight="1" x14ac:dyDescent="0.25">
      <c r="A9" s="11" t="s">
        <v>27</v>
      </c>
      <c r="B9" s="14">
        <v>0.5</v>
      </c>
      <c r="C9" s="14">
        <v>1.2</v>
      </c>
      <c r="D9" s="15"/>
    </row>
    <row r="10" spans="1:7" ht="19.5" customHeight="1" x14ac:dyDescent="0.25">
      <c r="A10" s="11" t="s">
        <v>28</v>
      </c>
      <c r="B10" s="14">
        <v>30</v>
      </c>
      <c r="C10" s="14">
        <v>30</v>
      </c>
      <c r="D10" s="15"/>
    </row>
    <row r="11" spans="1:7" ht="19.5" customHeight="1" x14ac:dyDescent="0.25">
      <c r="A11" s="11" t="s">
        <v>29</v>
      </c>
      <c r="B11" s="13">
        <f>B5*B9</f>
        <v>5000</v>
      </c>
      <c r="C11" s="13">
        <f>C5*C9</f>
        <v>2400</v>
      </c>
      <c r="D11" s="13">
        <f>B11+C11</f>
        <v>7400</v>
      </c>
    </row>
    <row r="12" spans="1:7" ht="19.5" customHeight="1" x14ac:dyDescent="0.25">
      <c r="A12" s="17" t="s">
        <v>30</v>
      </c>
      <c r="B12" s="18">
        <f>B8+(B9*B10)</f>
        <v>30</v>
      </c>
      <c r="C12" s="18">
        <f>C8+(C9*C10)</f>
        <v>71</v>
      </c>
      <c r="D12" s="19"/>
    </row>
    <row r="14" spans="1:7" ht="15" customHeight="1" x14ac:dyDescent="0.25">
      <c r="A14" s="10" t="s">
        <v>31</v>
      </c>
    </row>
    <row r="15" spans="1:7" ht="25.5" customHeight="1" x14ac:dyDescent="0.25">
      <c r="A15" s="5" t="s">
        <v>32</v>
      </c>
      <c r="B15" s="5" t="s">
        <v>33</v>
      </c>
      <c r="C15" s="5" t="s">
        <v>34</v>
      </c>
      <c r="D15" s="5" t="s">
        <v>35</v>
      </c>
      <c r="E15" s="5" t="s">
        <v>36</v>
      </c>
      <c r="F15" s="5" t="s">
        <v>37</v>
      </c>
      <c r="G15" s="5" t="s">
        <v>38</v>
      </c>
    </row>
    <row r="16" spans="1:7" ht="19.5" customHeight="1" x14ac:dyDescent="0.25">
      <c r="A16" s="11" t="s">
        <v>39</v>
      </c>
      <c r="B16" s="20" t="s">
        <v>40</v>
      </c>
      <c r="C16" s="21">
        <v>40</v>
      </c>
      <c r="D16" s="21">
        <v>80</v>
      </c>
      <c r="E16" s="13">
        <f>C16+D16</f>
        <v>120</v>
      </c>
      <c r="F16" s="14">
        <v>60000</v>
      </c>
      <c r="G16" s="22">
        <f>F16/E16</f>
        <v>500</v>
      </c>
    </row>
    <row r="17" spans="1:7" ht="19.5" customHeight="1" x14ac:dyDescent="0.25">
      <c r="A17" s="11" t="s">
        <v>41</v>
      </c>
      <c r="B17" s="20" t="s">
        <v>42</v>
      </c>
      <c r="C17" s="21">
        <v>20</v>
      </c>
      <c r="D17" s="21">
        <v>80</v>
      </c>
      <c r="E17" s="15">
        <f>C17+D17</f>
        <v>100</v>
      </c>
      <c r="F17" s="14">
        <v>80000</v>
      </c>
      <c r="G17" s="22">
        <f>F17/E17</f>
        <v>800</v>
      </c>
    </row>
    <row r="18" spans="1:7" ht="19.5" customHeight="1" x14ac:dyDescent="0.25">
      <c r="A18" s="11" t="s">
        <v>43</v>
      </c>
      <c r="B18" s="20" t="s">
        <v>44</v>
      </c>
      <c r="C18" s="12">
        <v>5000</v>
      </c>
      <c r="D18" s="12">
        <v>3000</v>
      </c>
      <c r="E18" s="13">
        <f>C18+D18</f>
        <v>8000</v>
      </c>
      <c r="F18" s="14">
        <v>120000</v>
      </c>
      <c r="G18" s="22">
        <f>F18/E18</f>
        <v>15</v>
      </c>
    </row>
    <row r="19" spans="1:7" ht="19.5" customHeight="1" x14ac:dyDescent="0.25">
      <c r="A19" s="11" t="s">
        <v>45</v>
      </c>
      <c r="B19" s="20" t="s">
        <v>46</v>
      </c>
      <c r="C19" s="21">
        <v>20</v>
      </c>
      <c r="D19" s="21">
        <v>80</v>
      </c>
      <c r="E19" s="15">
        <f>C19+D19</f>
        <v>100</v>
      </c>
      <c r="F19" s="14">
        <v>60000</v>
      </c>
      <c r="G19" s="22">
        <f>F19/E19</f>
        <v>600</v>
      </c>
    </row>
    <row r="20" spans="1:7" ht="19.5" customHeight="1" x14ac:dyDescent="0.25">
      <c r="A20" s="11" t="s">
        <v>47</v>
      </c>
      <c r="B20" s="20" t="s">
        <v>48</v>
      </c>
      <c r="C20" s="21">
        <v>80</v>
      </c>
      <c r="D20" s="12">
        <v>120</v>
      </c>
      <c r="E20" s="13">
        <f>C20+D20</f>
        <v>200</v>
      </c>
      <c r="F20" s="14">
        <v>40000</v>
      </c>
      <c r="G20" s="22">
        <f>F20/E20</f>
        <v>200</v>
      </c>
    </row>
    <row r="21" spans="1:7" ht="19.5" customHeight="1" x14ac:dyDescent="0.25">
      <c r="A21" s="17" t="s">
        <v>49</v>
      </c>
      <c r="B21" s="17" t="s">
        <v>50</v>
      </c>
      <c r="C21" s="23" t="s">
        <v>51</v>
      </c>
      <c r="D21" s="23" t="s">
        <v>51</v>
      </c>
      <c r="E21" s="23" t="s">
        <v>51</v>
      </c>
      <c r="F21" s="18">
        <f>SUM(F16:F20)</f>
        <v>360000</v>
      </c>
      <c r="G21" s="23" t="s">
        <v>51</v>
      </c>
    </row>
    <row r="23" spans="1:7" ht="15" customHeight="1" x14ac:dyDescent="0.25">
      <c r="A23" s="10" t="s">
        <v>52</v>
      </c>
    </row>
    <row r="24" spans="1:7" ht="25.5" customHeight="1" x14ac:dyDescent="0.25">
      <c r="A24" s="5" t="s">
        <v>53</v>
      </c>
      <c r="B24" s="5" t="s">
        <v>54</v>
      </c>
      <c r="C24" s="5" t="s">
        <v>20</v>
      </c>
      <c r="D24" s="5" t="s">
        <v>21</v>
      </c>
      <c r="E24" s="5" t="s">
        <v>55</v>
      </c>
    </row>
    <row r="25" spans="1:7" ht="19.5" customHeight="1" x14ac:dyDescent="0.25">
      <c r="A25" s="11" t="s">
        <v>56</v>
      </c>
      <c r="B25" s="11" t="s">
        <v>57</v>
      </c>
      <c r="C25" s="22">
        <f>B12</f>
        <v>30</v>
      </c>
      <c r="D25" s="22">
        <f>C12</f>
        <v>71</v>
      </c>
      <c r="E25" s="24" t="s">
        <v>50</v>
      </c>
    </row>
    <row r="26" spans="1:7" ht="19.5" customHeight="1" x14ac:dyDescent="0.25">
      <c r="A26" s="11"/>
      <c r="B26" s="11" t="s">
        <v>58</v>
      </c>
      <c r="C26" s="22">
        <f>(F21*(B11/$D$11))/B5</f>
        <v>24.324324324324323</v>
      </c>
      <c r="D26" s="22">
        <f>(F21*(C11/$D$11))/C5</f>
        <v>58.378378378378379</v>
      </c>
      <c r="E26" s="22">
        <f>F21</f>
        <v>360000</v>
      </c>
    </row>
    <row r="27" spans="1:7" ht="19.5" customHeight="1" x14ac:dyDescent="0.25">
      <c r="A27" s="11"/>
      <c r="B27" s="11" t="s">
        <v>59</v>
      </c>
      <c r="C27" s="22">
        <f>C25+C26</f>
        <v>54.324324324324323</v>
      </c>
      <c r="D27" s="22">
        <f>D25+D26</f>
        <v>129.37837837837839</v>
      </c>
      <c r="E27" s="24" t="s">
        <v>50</v>
      </c>
    </row>
    <row r="28" spans="1:7" ht="19.5" customHeight="1" x14ac:dyDescent="0.25">
      <c r="A28" s="11"/>
      <c r="B28" s="11" t="s">
        <v>60</v>
      </c>
      <c r="C28" s="22">
        <f>B6</f>
        <v>60</v>
      </c>
      <c r="D28" s="22">
        <f>C6</f>
        <v>140</v>
      </c>
      <c r="E28" s="24" t="s">
        <v>50</v>
      </c>
    </row>
    <row r="29" spans="1:7" ht="19.5" customHeight="1" x14ac:dyDescent="0.25">
      <c r="A29" s="11"/>
      <c r="B29" s="11" t="s">
        <v>61</v>
      </c>
      <c r="C29" s="16">
        <f>C28-C27</f>
        <v>5.6756756756756772</v>
      </c>
      <c r="D29" s="16">
        <f>D28-D27</f>
        <v>10.621621621621614</v>
      </c>
      <c r="E29" s="16">
        <f>D7-(C25*B5+D25*C5)-F21</f>
        <v>78000</v>
      </c>
    </row>
    <row r="30" spans="1:7" ht="19.5" customHeight="1" x14ac:dyDescent="0.25">
      <c r="A30" s="11"/>
      <c r="B30" s="11" t="s">
        <v>62</v>
      </c>
      <c r="C30" s="25">
        <f>C29/C28</f>
        <v>9.4594594594594614E-2</v>
      </c>
      <c r="D30" s="25">
        <f>D29/D28</f>
        <v>7.5868725868725811E-2</v>
      </c>
      <c r="E30" s="25">
        <f>E29/D7</f>
        <v>8.8636363636363638E-2</v>
      </c>
    </row>
    <row r="31" spans="1:7" ht="19.5" customHeight="1" x14ac:dyDescent="0.25">
      <c r="A31" s="11" t="s">
        <v>63</v>
      </c>
      <c r="B31" s="11" t="s">
        <v>57</v>
      </c>
      <c r="C31" s="22">
        <f>B12</f>
        <v>30</v>
      </c>
      <c r="D31" s="22">
        <f>C12</f>
        <v>71</v>
      </c>
      <c r="E31" s="24" t="s">
        <v>50</v>
      </c>
    </row>
    <row r="32" spans="1:7" ht="19.5" customHeight="1" x14ac:dyDescent="0.25">
      <c r="A32" s="11"/>
      <c r="B32" s="11" t="s">
        <v>58</v>
      </c>
      <c r="C32" s="22">
        <f>SUMPRODUCT(C16:C20,$G16:$G20)/B5</f>
        <v>13.9</v>
      </c>
      <c r="D32" s="22">
        <f>SUMPRODUCT(D16:D20,$G16:$G20)/C5</f>
        <v>110.5</v>
      </c>
      <c r="E32" s="22">
        <f>F21</f>
        <v>360000</v>
      </c>
    </row>
    <row r="33" spans="1:5" ht="19.5" customHeight="1" x14ac:dyDescent="0.25">
      <c r="A33" s="11"/>
      <c r="B33" s="11" t="s">
        <v>59</v>
      </c>
      <c r="C33" s="22">
        <f>C31+C32</f>
        <v>43.9</v>
      </c>
      <c r="D33" s="22">
        <f>D31+D32</f>
        <v>181.5</v>
      </c>
      <c r="E33" s="24" t="s">
        <v>50</v>
      </c>
    </row>
    <row r="34" spans="1:5" ht="19.5" customHeight="1" x14ac:dyDescent="0.25">
      <c r="A34" s="11"/>
      <c r="B34" s="11" t="s">
        <v>60</v>
      </c>
      <c r="C34" s="22">
        <f>B6</f>
        <v>60</v>
      </c>
      <c r="D34" s="22">
        <f>C6</f>
        <v>140</v>
      </c>
      <c r="E34" s="24" t="s">
        <v>50</v>
      </c>
    </row>
    <row r="35" spans="1:5" ht="19.5" customHeight="1" x14ac:dyDescent="0.25">
      <c r="A35" s="11"/>
      <c r="B35" s="11" t="s">
        <v>61</v>
      </c>
      <c r="C35" s="16">
        <f>C34-C33</f>
        <v>16.100000000000001</v>
      </c>
      <c r="D35" s="26">
        <f>D34-D33</f>
        <v>-41.5</v>
      </c>
      <c r="E35" s="16">
        <f>D7-(C31*B5+D31*C5)-F21</f>
        <v>78000</v>
      </c>
    </row>
    <row r="36" spans="1:5" ht="19.5" customHeight="1" x14ac:dyDescent="0.25">
      <c r="A36" s="11"/>
      <c r="B36" s="11" t="s">
        <v>62</v>
      </c>
      <c r="C36" s="25">
        <f>C35/C34</f>
        <v>0.26833333333333337</v>
      </c>
      <c r="D36" s="25">
        <f>D35/D34</f>
        <v>-0.29642857142857143</v>
      </c>
      <c r="E36" s="25">
        <f>E35/D7</f>
        <v>8.8636363636363638E-2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6"/>
  <sheetViews>
    <sheetView topLeftCell="A4" zoomScaleNormal="100" workbookViewId="0">
      <selection activeCell="A13" sqref="A13"/>
    </sheetView>
  </sheetViews>
  <sheetFormatPr baseColWidth="10" defaultColWidth="8.7109375" defaultRowHeight="15" x14ac:dyDescent="0.25"/>
  <cols>
    <col min="1" max="1" width="14" customWidth="1"/>
    <col min="2" max="2" width="22" customWidth="1"/>
    <col min="3" max="3" width="16" customWidth="1"/>
    <col min="4" max="4" width="14" customWidth="1"/>
    <col min="5" max="6" width="16" customWidth="1"/>
    <col min="7" max="8" width="18" customWidth="1"/>
    <col min="9" max="9" width="16" customWidth="1"/>
  </cols>
  <sheetData>
    <row r="1" spans="1:9" ht="24.75" customHeight="1" x14ac:dyDescent="0.3">
      <c r="A1" s="4" t="s">
        <v>64</v>
      </c>
    </row>
    <row r="3" spans="1:9" ht="15" customHeight="1" x14ac:dyDescent="0.25">
      <c r="A3" s="10" t="s">
        <v>65</v>
      </c>
    </row>
    <row r="4" spans="1:9" ht="25.5" customHeight="1" x14ac:dyDescent="0.25">
      <c r="A4" s="5" t="s">
        <v>66</v>
      </c>
      <c r="B4" s="5" t="s">
        <v>67</v>
      </c>
      <c r="C4" s="5" t="s">
        <v>68</v>
      </c>
      <c r="D4" s="5" t="s">
        <v>69</v>
      </c>
      <c r="E4" s="5" t="s">
        <v>70</v>
      </c>
      <c r="F4" s="5" t="s">
        <v>71</v>
      </c>
      <c r="G4" s="5" t="s">
        <v>72</v>
      </c>
      <c r="H4" s="5" t="s">
        <v>73</v>
      </c>
      <c r="I4" s="5" t="s">
        <v>74</v>
      </c>
    </row>
    <row r="5" spans="1:9" ht="19.5" customHeight="1" x14ac:dyDescent="0.25">
      <c r="A5" s="6" t="s">
        <v>75</v>
      </c>
      <c r="B5" s="11" t="s">
        <v>76</v>
      </c>
      <c r="C5" s="12">
        <v>200</v>
      </c>
      <c r="D5" s="14">
        <v>10</v>
      </c>
      <c r="E5" s="22">
        <f>C5*D5</f>
        <v>2000</v>
      </c>
      <c r="F5" s="13">
        <f>C5</f>
        <v>200</v>
      </c>
      <c r="G5" s="22">
        <f>E5</f>
        <v>2000</v>
      </c>
      <c r="H5" s="22">
        <f>E5</f>
        <v>2000</v>
      </c>
      <c r="I5" s="22">
        <f>H5/F5</f>
        <v>10</v>
      </c>
    </row>
    <row r="6" spans="1:9" ht="19.5" customHeight="1" x14ac:dyDescent="0.25">
      <c r="A6" s="6" t="s">
        <v>77</v>
      </c>
      <c r="B6" s="11" t="s">
        <v>78</v>
      </c>
      <c r="C6" s="12">
        <v>300</v>
      </c>
      <c r="D6" s="14">
        <v>12</v>
      </c>
      <c r="E6" s="22">
        <f>C6*D6</f>
        <v>3600</v>
      </c>
      <c r="F6" s="13">
        <f>F5+C6</f>
        <v>500</v>
      </c>
      <c r="G6" s="22">
        <f>G5+E6</f>
        <v>5600</v>
      </c>
      <c r="H6" s="22">
        <f>H5+E6</f>
        <v>5600</v>
      </c>
      <c r="I6" s="22">
        <f>H6/F6</f>
        <v>11.2</v>
      </c>
    </row>
    <row r="7" spans="1:9" ht="19.5" customHeight="1" x14ac:dyDescent="0.25">
      <c r="A7" s="6" t="s">
        <v>79</v>
      </c>
      <c r="B7" s="11" t="s">
        <v>80</v>
      </c>
      <c r="C7" s="12">
        <v>-350</v>
      </c>
      <c r="D7" s="15"/>
      <c r="E7" s="15"/>
      <c r="F7" s="13">
        <f>F6+C7</f>
        <v>150</v>
      </c>
      <c r="G7" s="22">
        <f>G6-(MIN(C5,-C7)*D5+MAX(-C7-C5,0)*D6)</f>
        <v>1800</v>
      </c>
      <c r="H7" s="22">
        <f>H6+C7*I6</f>
        <v>1680.0000000000005</v>
      </c>
      <c r="I7" s="22">
        <f>H7/F7</f>
        <v>11.200000000000003</v>
      </c>
    </row>
    <row r="8" spans="1:9" ht="19.5" customHeight="1" x14ac:dyDescent="0.25">
      <c r="A8" s="6" t="s">
        <v>81</v>
      </c>
      <c r="B8" s="11" t="s">
        <v>82</v>
      </c>
      <c r="C8" s="12">
        <v>400</v>
      </c>
      <c r="D8" s="14">
        <v>13.5</v>
      </c>
      <c r="E8" s="22">
        <f>C8*D8</f>
        <v>5400</v>
      </c>
      <c r="F8" s="13">
        <f>F7+C8</f>
        <v>550</v>
      </c>
      <c r="G8" s="22">
        <f>G7+E8</f>
        <v>7200</v>
      </c>
      <c r="H8" s="22">
        <f>H7+E8</f>
        <v>7080</v>
      </c>
      <c r="I8" s="22">
        <f>H8/F8</f>
        <v>12.872727272727273</v>
      </c>
    </row>
    <row r="9" spans="1:9" ht="19.5" customHeight="1" x14ac:dyDescent="0.25">
      <c r="A9" s="6" t="s">
        <v>83</v>
      </c>
      <c r="B9" s="11" t="s">
        <v>84</v>
      </c>
      <c r="C9" s="12">
        <v>-300</v>
      </c>
      <c r="D9" s="15"/>
      <c r="E9" s="15"/>
      <c r="F9" s="13">
        <f>F8+C9</f>
        <v>250</v>
      </c>
      <c r="G9" s="22">
        <f>G8-(MIN(C6-MAX(-C7-C5,0),-C9)*D6+MAX(-C9-(C6-MAX(-C7-C5,0)),0)*D8)</f>
        <v>3375</v>
      </c>
      <c r="H9" s="22">
        <f>H8+C9*I8</f>
        <v>3218.181818181818</v>
      </c>
      <c r="I9" s="22">
        <f>H9/F9</f>
        <v>12.872727272727271</v>
      </c>
    </row>
    <row r="12" spans="1:9" ht="15" customHeight="1" x14ac:dyDescent="0.25">
      <c r="A12" s="10" t="s">
        <v>85</v>
      </c>
    </row>
    <row r="13" spans="1:9" ht="25.5" customHeight="1" x14ac:dyDescent="0.25">
      <c r="A13" s="5" t="s">
        <v>86</v>
      </c>
      <c r="B13" s="5" t="s">
        <v>87</v>
      </c>
      <c r="C13" s="5" t="s">
        <v>88</v>
      </c>
      <c r="D13" s="5" t="s">
        <v>89</v>
      </c>
      <c r="E13" s="3" t="s">
        <v>90</v>
      </c>
      <c r="F13" s="3"/>
      <c r="G13" s="3"/>
      <c r="H13" s="3"/>
      <c r="I13" s="3"/>
    </row>
    <row r="14" spans="1:9" ht="21.75" customHeight="1" x14ac:dyDescent="0.25">
      <c r="A14" s="20" t="s">
        <v>91</v>
      </c>
      <c r="B14" s="22">
        <f>(G6-G7)+(G8-G9)</f>
        <v>7625</v>
      </c>
      <c r="C14" s="22">
        <f>(H6-H7)+(H8-H9)</f>
        <v>7781.818181818182</v>
      </c>
      <c r="D14" s="22">
        <f>B14-C14</f>
        <v>-156.81818181818198</v>
      </c>
      <c r="E14" s="2" t="s">
        <v>92</v>
      </c>
      <c r="F14" s="2"/>
      <c r="G14" s="2"/>
      <c r="H14" s="2"/>
      <c r="I14" s="2"/>
    </row>
    <row r="15" spans="1:9" ht="21.75" customHeight="1" x14ac:dyDescent="0.25">
      <c r="A15" s="20" t="s">
        <v>93</v>
      </c>
      <c r="B15" s="22">
        <f>G9</f>
        <v>3375</v>
      </c>
      <c r="C15" s="22">
        <f>H9</f>
        <v>3218.181818181818</v>
      </c>
      <c r="D15" s="22">
        <f>B15-C15</f>
        <v>156.81818181818198</v>
      </c>
      <c r="E15" s="2" t="s">
        <v>94</v>
      </c>
      <c r="F15" s="2"/>
      <c r="G15" s="2"/>
      <c r="H15" s="2"/>
      <c r="I15" s="2"/>
    </row>
    <row r="16" spans="1:9" ht="21.75" customHeight="1" x14ac:dyDescent="0.25">
      <c r="A16" s="17" t="s">
        <v>95</v>
      </c>
      <c r="B16" s="18">
        <f>B14+B15</f>
        <v>11000</v>
      </c>
      <c r="C16" s="18">
        <f>C14+C15</f>
        <v>11000</v>
      </c>
      <c r="D16" s="18">
        <f>B16-C16</f>
        <v>0</v>
      </c>
      <c r="E16" s="1" t="s">
        <v>96</v>
      </c>
      <c r="F16" s="1"/>
      <c r="G16" s="1"/>
      <c r="H16" s="1"/>
      <c r="I16" s="1"/>
    </row>
  </sheetData>
  <mergeCells count="4">
    <mergeCell ref="E13:I13"/>
    <mergeCell ref="E14:I14"/>
    <mergeCell ref="E15:I15"/>
    <mergeCell ref="E16:I16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2"/>
  <sheetViews>
    <sheetView tabSelected="1" topLeftCell="B41" zoomScaleNormal="100" workbookViewId="0">
      <selection activeCell="D22" sqref="D22"/>
    </sheetView>
  </sheetViews>
  <sheetFormatPr baseColWidth="10" defaultColWidth="8.7109375" defaultRowHeight="15" x14ac:dyDescent="0.25"/>
  <cols>
    <col min="1" max="1" width="34" customWidth="1"/>
    <col min="2" max="2" width="32" customWidth="1"/>
    <col min="3" max="3" width="20" customWidth="1"/>
    <col min="4" max="4" width="54" customWidth="1"/>
  </cols>
  <sheetData>
    <row r="1" spans="1:4" ht="24.75" customHeight="1" x14ac:dyDescent="0.3">
      <c r="A1" s="4" t="s">
        <v>97</v>
      </c>
    </row>
    <row r="3" spans="1:4" ht="15" customHeight="1" x14ac:dyDescent="0.25">
      <c r="A3" s="10" t="s">
        <v>98</v>
      </c>
    </row>
    <row r="4" spans="1:4" ht="25.5" customHeight="1" x14ac:dyDescent="0.25">
      <c r="A4" s="5" t="s">
        <v>99</v>
      </c>
      <c r="B4" s="5" t="s">
        <v>70</v>
      </c>
      <c r="C4" s="5" t="s">
        <v>100</v>
      </c>
      <c r="D4" s="5" t="s">
        <v>101</v>
      </c>
    </row>
    <row r="5" spans="1:4" ht="19.5" customHeight="1" x14ac:dyDescent="0.25">
      <c r="A5" s="11" t="s">
        <v>102</v>
      </c>
      <c r="B5" s="27">
        <f>'01_Methode_ABC'!D7</f>
        <v>880000</v>
      </c>
      <c r="C5" s="28">
        <f t="shared" ref="C5:C13" si="0">B5/$B$5</f>
        <v>1</v>
      </c>
      <c r="D5" s="11" t="s">
        <v>103</v>
      </c>
    </row>
    <row r="6" spans="1:4" ht="19.5" customHeight="1" x14ac:dyDescent="0.25">
      <c r="A6" s="20" t="s">
        <v>104</v>
      </c>
      <c r="B6" s="27">
        <f>SUMPRODUCT('01_Methode_ABC'!B8:C8,'01_Methode_ABC'!B5:C5)</f>
        <v>220000</v>
      </c>
      <c r="C6" s="25">
        <f t="shared" si="0"/>
        <v>0.25</v>
      </c>
      <c r="D6" s="20" t="s">
        <v>105</v>
      </c>
    </row>
    <row r="7" spans="1:4" ht="19.5" customHeight="1" x14ac:dyDescent="0.25">
      <c r="A7" s="20" t="s">
        <v>106</v>
      </c>
      <c r="B7" s="27">
        <f>'01_Methode_ABC'!D11*'01_Methode_ABC'!B10</f>
        <v>222000</v>
      </c>
      <c r="C7" s="25">
        <f t="shared" si="0"/>
        <v>0.25227272727272726</v>
      </c>
      <c r="D7" s="20" t="s">
        <v>107</v>
      </c>
    </row>
    <row r="8" spans="1:4" ht="19.5" customHeight="1" x14ac:dyDescent="0.25">
      <c r="A8" s="20" t="s">
        <v>108</v>
      </c>
      <c r="B8" s="27">
        <f>'01_Methode_ABC'!F18*0.5</f>
        <v>60000</v>
      </c>
      <c r="C8" s="25">
        <f t="shared" si="0"/>
        <v>6.8181818181818177E-2</v>
      </c>
      <c r="D8" s="20" t="s">
        <v>109</v>
      </c>
    </row>
    <row r="9" spans="1:4" ht="19.5" customHeight="1" x14ac:dyDescent="0.25">
      <c r="A9" s="20" t="s">
        <v>110</v>
      </c>
      <c r="B9" s="27">
        <f>'01_Methode_ABC'!F20</f>
        <v>40000</v>
      </c>
      <c r="C9" s="25">
        <f t="shared" si="0"/>
        <v>4.5454545454545456E-2</v>
      </c>
      <c r="D9" s="20" t="s">
        <v>105</v>
      </c>
    </row>
    <row r="10" spans="1:4" ht="19.5" customHeight="1" x14ac:dyDescent="0.25">
      <c r="A10" s="11" t="s">
        <v>111</v>
      </c>
      <c r="B10" s="16">
        <f>SUM(B6:B9)</f>
        <v>542000</v>
      </c>
      <c r="C10" s="28">
        <f t="shared" si="0"/>
        <v>0.61590909090909096</v>
      </c>
      <c r="D10" s="11" t="s">
        <v>112</v>
      </c>
    </row>
    <row r="11" spans="1:4" ht="19.5" customHeight="1" x14ac:dyDescent="0.25">
      <c r="A11" s="17" t="s">
        <v>113</v>
      </c>
      <c r="B11" s="18">
        <f>B5-B10</f>
        <v>338000</v>
      </c>
      <c r="C11" s="29">
        <f t="shared" si="0"/>
        <v>0.38409090909090909</v>
      </c>
      <c r="D11" s="17" t="s">
        <v>114</v>
      </c>
    </row>
    <row r="12" spans="1:4" ht="19.5" customHeight="1" x14ac:dyDescent="0.25">
      <c r="A12" s="11" t="s">
        <v>115</v>
      </c>
      <c r="B12" s="27">
        <f>'01_Methode_ABC'!F16+'01_Methode_ABC'!F17+'01_Methode_ABC'!F19+'01_Methode_ABC'!F18*0.5</f>
        <v>260000</v>
      </c>
      <c r="C12" s="28">
        <f t="shared" si="0"/>
        <v>0.29545454545454547</v>
      </c>
      <c r="D12" s="11" t="s">
        <v>116</v>
      </c>
    </row>
    <row r="13" spans="1:4" ht="19.5" customHeight="1" x14ac:dyDescent="0.25">
      <c r="A13" s="17" t="s">
        <v>117</v>
      </c>
      <c r="B13" s="18">
        <f>B11-B12</f>
        <v>78000</v>
      </c>
      <c r="C13" s="29">
        <f t="shared" si="0"/>
        <v>8.8636363636363638E-2</v>
      </c>
      <c r="D13" s="17" t="s">
        <v>118</v>
      </c>
    </row>
    <row r="16" spans="1:4" ht="15" customHeight="1" x14ac:dyDescent="0.25">
      <c r="A16" s="10" t="s">
        <v>119</v>
      </c>
    </row>
    <row r="17" spans="1:4" ht="25.5" customHeight="1" x14ac:dyDescent="0.25">
      <c r="A17" s="5" t="s">
        <v>120</v>
      </c>
      <c r="B17" s="5" t="s">
        <v>121</v>
      </c>
      <c r="C17" s="5" t="s">
        <v>122</v>
      </c>
      <c r="D17" s="5" t="s">
        <v>123</v>
      </c>
    </row>
    <row r="18" spans="1:4" ht="21.75" customHeight="1" x14ac:dyDescent="0.25">
      <c r="A18" s="11" t="s">
        <v>124</v>
      </c>
      <c r="B18" s="20" t="s">
        <v>125</v>
      </c>
      <c r="C18" s="22">
        <f>B12/C11</f>
        <v>676923.07692307688</v>
      </c>
      <c r="D18" s="20" t="s">
        <v>126</v>
      </c>
    </row>
    <row r="19" spans="1:4" ht="21.75" customHeight="1" x14ac:dyDescent="0.25">
      <c r="A19" s="11" t="s">
        <v>127</v>
      </c>
      <c r="B19" s="20" t="s">
        <v>128</v>
      </c>
      <c r="C19" s="30">
        <f>(C18/B5)*360</f>
        <v>276.92307692307691</v>
      </c>
      <c r="D19" s="20" t="s">
        <v>129</v>
      </c>
    </row>
    <row r="20" spans="1:4" ht="21.75" customHeight="1" x14ac:dyDescent="0.25">
      <c r="A20" s="11" t="s">
        <v>130</v>
      </c>
      <c r="B20" s="20" t="s">
        <v>131</v>
      </c>
      <c r="C20" s="22">
        <f>B5-C18</f>
        <v>203076.92307692312</v>
      </c>
      <c r="D20" s="20" t="s">
        <v>132</v>
      </c>
    </row>
    <row r="21" spans="1:4" ht="21.75" customHeight="1" x14ac:dyDescent="0.25">
      <c r="A21" s="11" t="s">
        <v>133</v>
      </c>
      <c r="B21" s="20" t="s">
        <v>134</v>
      </c>
      <c r="C21" s="25">
        <f>C20/B5</f>
        <v>0.23076923076923081</v>
      </c>
      <c r="D21" s="20" t="s">
        <v>135</v>
      </c>
    </row>
    <row r="22" spans="1:4" ht="21.75" customHeight="1" x14ac:dyDescent="0.25">
      <c r="A22" s="11" t="s">
        <v>136</v>
      </c>
      <c r="B22" s="20" t="s">
        <v>137</v>
      </c>
      <c r="C22" s="30">
        <f>B11/B13</f>
        <v>4.333333333333333</v>
      </c>
      <c r="D22" s="20" t="s">
        <v>138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00_Sommaire</vt:lpstr>
      <vt:lpstr>01_Methode_ABC</vt:lpstr>
      <vt:lpstr>02_Valorisation_Stocks</vt:lpstr>
      <vt:lpstr>03_Seuil_Rentabilite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Bakary SACKO</dc:creator>
  <dc:description/>
  <cp:lastModifiedBy>BAKARY SACKO</cp:lastModifiedBy>
  <cp:revision>0</cp:revision>
  <dcterms:created xsi:type="dcterms:W3CDTF">2026-09-12T08:15:55Z</dcterms:created>
  <dcterms:modified xsi:type="dcterms:W3CDTF">2026-09-23T14:30:19Z</dcterms:modified>
  <dc:language>en-US</dc:language>
</cp:coreProperties>
</file>